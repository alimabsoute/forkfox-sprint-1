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A2A52"/>
      <sz val="14"/>
    </font>
    <font>
      <i val="1"/>
      <color rgb="00666666"/>
      <sz val="9"/>
    </font>
    <font>
      <b val="1"/>
      <color rgb="00FA2A52"/>
      <sz val="11"/>
    </font>
    <font>
      <color rgb="00000000"/>
      <sz val="10"/>
    </font>
    <font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A0A0A"/>
        <bgColor rgb="000A0A0A"/>
      </patternFill>
    </fill>
    <fill>
      <patternFill patternType="solid">
        <fgColor rgb="00F8F7F4"/>
        <bgColor rgb="00F8F7F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13" customWidth="1" min="4" max="4"/>
    <col width="9" customWidth="1" min="5" max="5"/>
    <col width="9" customWidth="1" min="6" max="6"/>
    <col width="8" customWidth="1" min="7" max="7"/>
    <col width="8" customWidth="1" min="8" max="8"/>
    <col width="8" customWidth="1" min="9" max="9"/>
    <col width="7" customWidth="1" min="10" max="10"/>
    <col width="22" customWidth="1" min="11" max="11"/>
    <col width="28" customWidth="1" min="12" max="12"/>
  </cols>
  <sheetData>
    <row r="1">
      <c r="A1" s="1" t="inlineStr">
        <is>
          <t>DECISION MATRIX — Day 8 Mid-Sprint Pivot</t>
        </is>
      </c>
    </row>
    <row r="2">
      <c r="A2" s="2" t="inlineStr">
        <is>
          <t>Compare each channel's week-1 ROI. Keep/scale winners, cut losers, redirect spend.</t>
        </is>
      </c>
    </row>
    <row r="4" ht="22" customHeight="1">
      <c r="A4" s="3" t="inlineStr">
        <is>
          <t>Channel</t>
        </is>
      </c>
      <c r="B4" s="3" t="inlineStr">
        <is>
          <t>Sub-channel</t>
        </is>
      </c>
      <c r="C4" s="3" t="inlineStr">
        <is>
          <t>Spend $</t>
        </is>
      </c>
      <c r="D4" s="3" t="inlineStr">
        <is>
          <t>Impressions</t>
        </is>
      </c>
      <c r="E4" s="3" t="inlineStr">
        <is>
          <t>Clicks</t>
        </is>
      </c>
      <c r="F4" s="3" t="inlineStr">
        <is>
          <t>Signups</t>
        </is>
      </c>
      <c r="G4" s="3" t="inlineStr">
        <is>
          <t>CTR %</t>
        </is>
      </c>
      <c r="H4" s="3" t="inlineStr">
        <is>
          <t>CPC $</t>
        </is>
      </c>
      <c r="I4" s="3" t="inlineStr">
        <is>
          <t>CPI $</t>
        </is>
      </c>
      <c r="J4" s="3" t="inlineStr">
        <is>
          <t>ROI</t>
        </is>
      </c>
      <c r="K4" s="3" t="inlineStr">
        <is>
          <t>Decision</t>
        </is>
      </c>
      <c r="L4" s="3" t="inlineStr">
        <is>
          <t>Notes</t>
        </is>
      </c>
    </row>
    <row r="5">
      <c r="A5" s="4" t="inlineStr">
        <is>
          <t>Directory</t>
        </is>
      </c>
      <c r="B5" s="4" t="inlineStr">
        <is>
          <t>BetaList</t>
        </is>
      </c>
      <c r="C5" s="4" t="inlineStr"/>
      <c r="D5" s="4" t="inlineStr"/>
      <c r="E5" s="4" t="inlineStr"/>
      <c r="F5" s="4" t="inlineStr"/>
      <c r="G5" s="4">
        <f>IFERROR(E5/D5*100,"")</f>
        <v/>
      </c>
      <c r="H5" s="4">
        <f>IFERROR(C5/E5,"")</f>
        <v/>
      </c>
      <c r="I5" s="4">
        <f>IFERROR(C5/F5,"")</f>
        <v/>
      </c>
      <c r="J5" s="4">
        <f>IFERROR(F5/C5*10,"")</f>
        <v/>
      </c>
      <c r="K5" s="5" t="inlineStr">
        <is>
          <t>KEEP / CUT / SCALE</t>
        </is>
      </c>
      <c r="L5" s="4" t="inlineStr"/>
    </row>
    <row r="6">
      <c r="A6" s="6" t="inlineStr">
        <is>
          <t>Directory</t>
        </is>
      </c>
      <c r="B6" s="6" t="inlineStr">
        <is>
          <t>Product Hunt CS</t>
        </is>
      </c>
      <c r="C6" s="6" t="inlineStr"/>
      <c r="D6" s="6" t="inlineStr"/>
      <c r="E6" s="6" t="inlineStr"/>
      <c r="F6" s="6" t="inlineStr"/>
      <c r="G6" s="6">
        <f>IFERROR(E6/D6*100,"")</f>
        <v/>
      </c>
      <c r="H6" s="6">
        <f>IFERROR(C6/E6,"")</f>
        <v/>
      </c>
      <c r="I6" s="6">
        <f>IFERROR(C6/F6,"")</f>
        <v/>
      </c>
      <c r="J6" s="6">
        <f>IFERROR(F6/C6*10,"")</f>
        <v/>
      </c>
      <c r="K6" s="7" t="inlineStr">
        <is>
          <t>KEEP / CUT / SCALE</t>
        </is>
      </c>
      <c r="L6" s="6" t="inlineStr"/>
    </row>
    <row r="7">
      <c r="A7" s="4" t="inlineStr">
        <is>
          <t>Directory</t>
        </is>
      </c>
      <c r="B7" s="4" t="inlineStr">
        <is>
          <t>Wellfound</t>
        </is>
      </c>
      <c r="C7" s="4" t="inlineStr"/>
      <c r="D7" s="4" t="inlineStr"/>
      <c r="E7" s="4" t="inlineStr"/>
      <c r="F7" s="4" t="inlineStr"/>
      <c r="G7" s="4">
        <f>IFERROR(E7/D7*100,"")</f>
        <v/>
      </c>
      <c r="H7" s="4">
        <f>IFERROR(C7/E7,"")</f>
        <v/>
      </c>
      <c r="I7" s="4">
        <f>IFERROR(C7/F7,"")</f>
        <v/>
      </c>
      <c r="J7" s="4">
        <f>IFERROR(F7/C7*10,"")</f>
        <v/>
      </c>
      <c r="K7" s="5" t="inlineStr">
        <is>
          <t>KEEP / CUT / SCALE</t>
        </is>
      </c>
      <c r="L7" s="4" t="inlineStr"/>
    </row>
    <row r="8">
      <c r="A8" s="6" t="inlineStr">
        <is>
          <t>Directory</t>
        </is>
      </c>
      <c r="B8" s="6" t="inlineStr">
        <is>
          <t>Other (combined)</t>
        </is>
      </c>
      <c r="C8" s="6" t="inlineStr"/>
      <c r="D8" s="6" t="inlineStr"/>
      <c r="E8" s="6" t="inlineStr"/>
      <c r="F8" s="6" t="inlineStr"/>
      <c r="G8" s="6">
        <f>IFERROR(E8/D8*100,"")</f>
        <v/>
      </c>
      <c r="H8" s="6">
        <f>IFERROR(C8/E8,"")</f>
        <v/>
      </c>
      <c r="I8" s="6">
        <f>IFERROR(C8/F8,"")</f>
        <v/>
      </c>
      <c r="J8" s="6">
        <f>IFERROR(F8/C8*10,"")</f>
        <v/>
      </c>
      <c r="K8" s="7" t="inlineStr">
        <is>
          <t>KEEP / CUT / SCALE</t>
        </is>
      </c>
      <c r="L8" s="6" t="inlineStr"/>
    </row>
    <row r="9">
      <c r="A9" s="4" t="inlineStr">
        <is>
          <t>Paid</t>
        </is>
      </c>
      <c r="B9" s="4" t="inlineStr">
        <is>
          <t>Instagram Ads</t>
        </is>
      </c>
      <c r="C9" s="4" t="inlineStr"/>
      <c r="D9" s="4" t="inlineStr"/>
      <c r="E9" s="4" t="inlineStr"/>
      <c r="F9" s="4" t="inlineStr"/>
      <c r="G9" s="4">
        <f>IFERROR(E9/D9*100,"")</f>
        <v/>
      </c>
      <c r="H9" s="4">
        <f>IFERROR(C9/E9,"")</f>
        <v/>
      </c>
      <c r="I9" s="4">
        <f>IFERROR(C9/F9,"")</f>
        <v/>
      </c>
      <c r="J9" s="4">
        <f>IFERROR(F9/C9*10,"")</f>
        <v/>
      </c>
      <c r="K9" s="5" t="inlineStr">
        <is>
          <t>KEEP / CUT / SCALE</t>
        </is>
      </c>
      <c r="L9" s="4" t="inlineStr"/>
    </row>
    <row r="10">
      <c r="A10" s="6" t="inlineStr">
        <is>
          <t>Paid</t>
        </is>
      </c>
      <c r="B10" s="6" t="inlineStr">
        <is>
          <t>Reddit Ads</t>
        </is>
      </c>
      <c r="C10" s="6" t="inlineStr"/>
      <c r="D10" s="6" t="inlineStr"/>
      <c r="E10" s="6" t="inlineStr"/>
      <c r="F10" s="6" t="inlineStr"/>
      <c r="G10" s="6">
        <f>IFERROR(E10/D10*100,"")</f>
        <v/>
      </c>
      <c r="H10" s="6">
        <f>IFERROR(C10/E10,"")</f>
        <v/>
      </c>
      <c r="I10" s="6">
        <f>IFERROR(C10/F10,"")</f>
        <v/>
      </c>
      <c r="J10" s="6">
        <f>IFERROR(F10/C10*10,"")</f>
        <v/>
      </c>
      <c r="K10" s="7" t="inlineStr">
        <is>
          <t>KEEP / CUT / SCALE</t>
        </is>
      </c>
      <c r="L10" s="6" t="inlineStr"/>
    </row>
    <row r="11">
      <c r="A11" s="4" t="inlineStr">
        <is>
          <t>Organic</t>
        </is>
      </c>
      <c r="B11" s="4" t="inlineStr">
        <is>
          <t>Reddit posts</t>
        </is>
      </c>
      <c r="C11" s="4" t="inlineStr"/>
      <c r="D11" s="4" t="inlineStr"/>
      <c r="E11" s="4" t="inlineStr"/>
      <c r="F11" s="4" t="inlineStr"/>
      <c r="G11" s="4">
        <f>IFERROR(E11/D11*100,"")</f>
        <v/>
      </c>
      <c r="H11" s="4">
        <f>IFERROR(C11/E11,"")</f>
        <v/>
      </c>
      <c r="I11" s="4">
        <f>IFERROR(C11/F11,"")</f>
        <v/>
      </c>
      <c r="J11" s="4">
        <f>IFERROR(F11/C11*10,"")</f>
        <v/>
      </c>
      <c r="K11" s="5" t="inlineStr">
        <is>
          <t>KEEP / CUT / SCALE</t>
        </is>
      </c>
      <c r="L11" s="4" t="inlineStr"/>
    </row>
    <row r="12">
      <c r="A12" s="6" t="inlineStr">
        <is>
          <t>Organic</t>
        </is>
      </c>
      <c r="B12" s="6" t="inlineStr">
        <is>
          <t>IH / X / LinkedIn</t>
        </is>
      </c>
      <c r="C12" s="6" t="inlineStr"/>
      <c r="D12" s="6" t="inlineStr"/>
      <c r="E12" s="6" t="inlineStr"/>
      <c r="F12" s="6" t="inlineStr"/>
      <c r="G12" s="6">
        <f>IFERROR(E12/D12*100,"")</f>
        <v/>
      </c>
      <c r="H12" s="6">
        <f>IFERROR(C12/E12,"")</f>
        <v/>
      </c>
      <c r="I12" s="6">
        <f>IFERROR(C12/F12,"")</f>
        <v/>
      </c>
      <c r="J12" s="6">
        <f>IFERROR(F12/C12*10,"")</f>
        <v/>
      </c>
      <c r="K12" s="7" t="inlineStr">
        <is>
          <t>KEEP / CUT / SCALE</t>
        </is>
      </c>
      <c r="L12" s="6" t="inlineStr"/>
    </row>
    <row r="13">
      <c r="A13" s="4" t="inlineStr">
        <is>
          <t>Outreach</t>
        </is>
      </c>
      <c r="B13" s="4" t="inlineStr">
        <is>
          <t>DMs (Wave 1+2)</t>
        </is>
      </c>
      <c r="C13" s="4" t="inlineStr"/>
      <c r="D13" s="4" t="inlineStr"/>
      <c r="E13" s="4" t="inlineStr"/>
      <c r="F13" s="4" t="inlineStr"/>
      <c r="G13" s="4">
        <f>IFERROR(E13/D13*100,"")</f>
        <v/>
      </c>
      <c r="H13" s="4">
        <f>IFERROR(C13/E13,"")</f>
        <v/>
      </c>
      <c r="I13" s="4">
        <f>IFERROR(C13/F13,"")</f>
        <v/>
      </c>
      <c r="J13" s="4">
        <f>IFERROR(F13/C13*10,"")</f>
        <v/>
      </c>
      <c r="K13" s="5" t="inlineStr">
        <is>
          <t>KEEP / CUT / SCALE</t>
        </is>
      </c>
      <c r="L13" s="4" t="inlineStr"/>
    </row>
    <row r="14">
      <c r="A14" s="6" t="inlineStr">
        <is>
          <t>Outreach</t>
        </is>
      </c>
      <c r="B14" s="6" t="inlineStr">
        <is>
          <t>Influencer</t>
        </is>
      </c>
      <c r="C14" s="6" t="inlineStr"/>
      <c r="D14" s="6" t="inlineStr"/>
      <c r="E14" s="6" t="inlineStr"/>
      <c r="F14" s="6" t="inlineStr"/>
      <c r="G14" s="6">
        <f>IFERROR(E14/D14*100,"")</f>
        <v/>
      </c>
      <c r="H14" s="6">
        <f>IFERROR(C14/E14,"")</f>
        <v/>
      </c>
      <c r="I14" s="6">
        <f>IFERROR(C14/F14,"")</f>
        <v/>
      </c>
      <c r="J14" s="6">
        <f>IFERROR(F14/C14*10,"")</f>
        <v/>
      </c>
      <c r="K14" s="7" t="inlineStr">
        <is>
          <t>KEEP / CUT / SCALE</t>
        </is>
      </c>
      <c r="L14" s="6" t="inlineStr"/>
    </row>
    <row r="15">
      <c r="A15" s="4" t="inlineStr">
        <is>
          <t>Outreach</t>
        </is>
      </c>
      <c r="B15" s="4" t="inlineStr">
        <is>
          <t>Press</t>
        </is>
      </c>
      <c r="C15" s="4" t="inlineStr"/>
      <c r="D15" s="4" t="inlineStr"/>
      <c r="E15" s="4" t="inlineStr"/>
      <c r="F15" s="4" t="inlineStr"/>
      <c r="G15" s="4">
        <f>IFERROR(E15/D15*100,"")</f>
        <v/>
      </c>
      <c r="H15" s="4">
        <f>IFERROR(C15/E15,"")</f>
        <v/>
      </c>
      <c r="I15" s="4">
        <f>IFERROR(C15/F15,"")</f>
        <v/>
      </c>
      <c r="J15" s="4">
        <f>IFERROR(F15/C15*10,"")</f>
        <v/>
      </c>
      <c r="K15" s="5" t="inlineStr">
        <is>
          <t>KEEP / CUT / SCALE</t>
        </is>
      </c>
      <c r="L15" s="4" t="inlineStr"/>
    </row>
    <row r="18">
      <c r="A18" s="8" t="inlineStr">
        <is>
          <t>DECISION RULES</t>
        </is>
      </c>
    </row>
    <row r="19">
      <c r="A19" s="9" t="inlineStr">
        <is>
          <t>KEEP   — CPI &lt; $15 AND signups &gt; 5 in week 1</t>
        </is>
      </c>
    </row>
    <row r="20">
      <c r="A20" s="9" t="inlineStr">
        <is>
          <t>SCALE  — CPI &lt; $7  AND signups &gt; 15 in week 1 → 2x budget in week 2</t>
        </is>
      </c>
    </row>
    <row r="21">
      <c r="A21" s="9" t="inlineStr">
        <is>
          <t>CUT    — CPI &gt; $25 OR signups = 0</t>
        </is>
      </c>
    </row>
    <row r="22">
      <c r="A22" s="9" t="inlineStr">
        <is>
          <t>PIVOT  — anything between; reduce budget 50% and try new creative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2026-05-14T00:12:50Z</dcterms:created>
  <dcterms:modified xmlns:dcterms="http://purl.org/dc/terms/" xmlns:xsi="http://www.w3.org/2001/XMLSchema-instance" xsi:type="dcterms:W3CDTF">2026-05-14T00:12:50Z</dcterms:modified>
</cp:coreProperties>
</file>