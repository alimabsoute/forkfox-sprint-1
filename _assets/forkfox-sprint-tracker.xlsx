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Cumulative" sheetId="2" state="visible" r:id="rId2"/>
    <sheet xmlns:r="http://schemas.openxmlformats.org/officeDocument/2006/relationships" name="Outreach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A2A52"/>
      <sz val="11"/>
    </font>
    <font>
      <color rgb="00000000"/>
      <sz val="10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8F7F4"/>
        <bgColor rgb="00F8F7F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4" customWidth="1" min="4" max="4"/>
    <col width="14" customWidth="1" min="5" max="5"/>
    <col width="50" customWidth="1" min="6" max="6"/>
    <col width="9" customWidth="1" min="7" max="7"/>
    <col width="12" customWidth="1" min="8" max="8"/>
    <col width="9" customWidth="1" min="9" max="9"/>
    <col width="12" customWidth="1" min="10" max="10"/>
    <col width="11" customWidth="1" min="11" max="11"/>
    <col width="13" customWidth="1" min="12" max="12"/>
    <col width="22" customWidth="1" min="13" max="13"/>
    <col width="30" customWidth="1" min="14" max="14"/>
    <col width="22" customWidth="1" min="15" max="15"/>
  </cols>
  <sheetData>
    <row r="1" ht="22" customHeight="1">
      <c r="A1" s="1" t="inlineStr">
        <is>
          <t>Date</t>
        </is>
      </c>
      <c r="B1" s="1" t="inlineStr">
        <is>
          <t>Day #</t>
        </is>
      </c>
      <c r="C1" s="1" t="inlineStr">
        <is>
          <t>Week</t>
        </is>
      </c>
      <c r="D1" s="1" t="inlineStr">
        <is>
          <t>Channel</t>
        </is>
      </c>
      <c r="E1" s="1" t="inlineStr">
        <is>
          <t>Sub-channel</t>
        </is>
      </c>
      <c r="F1" s="1" t="inlineStr">
        <is>
          <t>Action</t>
        </is>
      </c>
      <c r="G1" s="1" t="inlineStr">
        <is>
          <t>Spend $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Signups (TF installs)</t>
        </is>
      </c>
      <c r="K1" s="1" t="inlineStr">
        <is>
          <t>Cost per click</t>
        </is>
      </c>
      <c r="L1" s="1" t="inlineStr">
        <is>
          <t>Cost per install</t>
        </is>
      </c>
      <c r="M1" s="1" t="inlineStr">
        <is>
          <t>UTM campaign</t>
        </is>
      </c>
      <c r="N1" s="1" t="inlineStr">
        <is>
          <t>Notes</t>
        </is>
      </c>
      <c r="O1" s="1" t="inlineStr">
        <is>
          <t>Decision taken</t>
        </is>
      </c>
    </row>
    <row r="2">
      <c r="A2" s="2" t="inlineStr">
        <is>
          <t>2026-05-12</t>
        </is>
      </c>
      <c r="B2" s="2" t="n">
        <v>1</v>
      </c>
      <c r="C2" s="2" t="inlineStr">
        <is>
          <t>Week 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2026-05-13</t>
        </is>
      </c>
      <c r="B3" s="3" t="n">
        <v>2</v>
      </c>
      <c r="C3" s="3" t="inlineStr">
        <is>
          <t>Week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inlineStr">
        <is>
          <t>2026-05-14</t>
        </is>
      </c>
      <c r="B4" s="2" t="n">
        <v>3</v>
      </c>
      <c r="C4" s="2" t="inlineStr">
        <is>
          <t>Week 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" t="inlineStr">
        <is>
          <t>2026-05-15</t>
        </is>
      </c>
      <c r="B5" s="3" t="n">
        <v>4</v>
      </c>
      <c r="C5" s="3" t="inlineStr">
        <is>
          <t>Week 1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inlineStr">
        <is>
          <t>2026-05-16</t>
        </is>
      </c>
      <c r="B6" s="2" t="n">
        <v>5</v>
      </c>
      <c r="C6" s="2" t="inlineStr">
        <is>
          <t>Week 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inlineStr">
        <is>
          <t>2026-05-17</t>
        </is>
      </c>
      <c r="B7" s="3" t="n">
        <v>6</v>
      </c>
      <c r="C7" s="3" t="inlineStr">
        <is>
          <t>Week 1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inlineStr">
        <is>
          <t>2026-05-18</t>
        </is>
      </c>
      <c r="B8" s="2" t="n">
        <v>7</v>
      </c>
      <c r="C8" s="2" t="inlineStr">
        <is>
          <t>Week 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" t="inlineStr">
        <is>
          <t>2026-05-19</t>
        </is>
      </c>
      <c r="B9" s="3" t="n">
        <v>8</v>
      </c>
      <c r="C9" s="3" t="inlineStr">
        <is>
          <t>Week 2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inlineStr">
        <is>
          <t>2026-05-20</t>
        </is>
      </c>
      <c r="B10" s="2" t="n">
        <v>9</v>
      </c>
      <c r="C10" s="2" t="inlineStr">
        <is>
          <t>Week 2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2026-05-21</t>
        </is>
      </c>
      <c r="B11" s="3" t="n">
        <v>10</v>
      </c>
      <c r="C11" s="3" t="inlineStr">
        <is>
          <t>Week 2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inlineStr">
        <is>
          <t>2026-05-22</t>
        </is>
      </c>
      <c r="B12" s="2" t="n">
        <v>11</v>
      </c>
      <c r="C12" s="2" t="inlineStr">
        <is>
          <t>Week 2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inlineStr">
        <is>
          <t>2026-05-23</t>
        </is>
      </c>
      <c r="B13" s="3" t="n">
        <v>12</v>
      </c>
      <c r="C13" s="3" t="inlineStr">
        <is>
          <t>Week 2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inlineStr">
        <is>
          <t>2026-05-24</t>
        </is>
      </c>
      <c r="B14" s="2" t="n">
        <v>13</v>
      </c>
      <c r="C14" s="2" t="inlineStr">
        <is>
          <t>Week 2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" t="inlineStr">
        <is>
          <t>2026-05-25</t>
        </is>
      </c>
      <c r="B15" s="3" t="n">
        <v>14</v>
      </c>
      <c r="C15" s="3" t="inlineStr">
        <is>
          <t>Week 2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7">
      <c r="A17" s="4" t="inlineStr">
        <is>
          <t>Note: each day will have multiple log lines (one per action). Insert rows below the date header as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35" customWidth="1" min="7" max="7"/>
    <col width="30" customWidth="1" min="8" max="8"/>
  </cols>
  <sheetData>
    <row r="1">
      <c r="A1" s="5" t="inlineStr">
        <is>
          <t>WEEKLY SUMMARY</t>
        </is>
      </c>
    </row>
    <row r="2">
      <c r="A2" s="1" t="inlineStr">
        <is>
          <t>Week</t>
        </is>
      </c>
      <c r="B2" s="1" t="inlineStr">
        <is>
          <t>Spend $</t>
        </is>
      </c>
      <c r="C2" s="1" t="inlineStr">
        <is>
          <t>Impressions</t>
        </is>
      </c>
      <c r="D2" s="1" t="inlineStr">
        <is>
          <t>Clicks</t>
        </is>
      </c>
      <c r="E2" s="1" t="inlineStr">
        <is>
          <t>Signups</t>
        </is>
      </c>
      <c r="F2" s="1" t="inlineStr">
        <is>
          <t>Cost per click</t>
        </is>
      </c>
      <c r="G2" s="1" t="inlineStr">
        <is>
          <t>Cost per install</t>
        </is>
      </c>
      <c r="H2" s="1" t="inlineStr">
        <is>
          <t>Real Philly visitors</t>
        </is>
      </c>
    </row>
    <row r="3">
      <c r="A3" s="3" t="inlineStr">
        <is>
          <t>Week 1</t>
        </is>
      </c>
      <c r="B3" s="3">
        <f>SUMIF('Daily Log'!C:C,"Week 1",'Daily Log'!G:G)</f>
        <v/>
      </c>
      <c r="C3" s="3">
        <f>SUMIF('Daily Log'!C:C,"Week 1",'Daily Log'!H:H)</f>
        <v/>
      </c>
      <c r="D3" s="3">
        <f>SUMIF('Daily Log'!C:C,"Week 1",'Daily Log'!I:I)</f>
        <v/>
      </c>
      <c r="E3" s="3">
        <f>SUMIF('Daily Log'!C:C,"Week 1",'Daily Log'!J:J)</f>
        <v/>
      </c>
      <c r="F3" s="3">
        <f>IFERROR(B3/D3,0)</f>
        <v/>
      </c>
      <c r="G3" s="3">
        <f>IFERROR(B3/E3,0)</f>
        <v/>
      </c>
      <c r="H3" s="3" t="inlineStr">
        <is>
          <t>(manual entry from GA4: city=Philadelphia, exclude founder)</t>
        </is>
      </c>
    </row>
    <row r="4">
      <c r="A4" s="3" t="inlineStr">
        <is>
          <t>Week 2</t>
        </is>
      </c>
      <c r="B4" s="3">
        <f>SUMIF('Daily Log'!C:C,"Week 2",'Daily Log'!G:G)</f>
        <v/>
      </c>
      <c r="C4" s="3">
        <f>SUMIF('Daily Log'!C:C,"Week 2",'Daily Log'!H:H)</f>
        <v/>
      </c>
      <c r="D4" s="3">
        <f>SUMIF('Daily Log'!C:C,"Week 2",'Daily Log'!I:I)</f>
        <v/>
      </c>
      <c r="E4" s="3">
        <f>SUMIF('Daily Log'!C:C,"Week 2",'Daily Log'!J:J)</f>
        <v/>
      </c>
      <c r="F4" s="3">
        <f>IFERROR(B4/D4,0)</f>
        <v/>
      </c>
      <c r="G4" s="3">
        <f>IFERROR(B4/E4,0)</f>
        <v/>
      </c>
      <c r="H4" s="3" t="inlineStr">
        <is>
          <t>(manual entry from GA4: city=Philadelphia, exclude founder)</t>
        </is>
      </c>
    </row>
    <row r="5">
      <c r="A5" s="6" t="inlineStr">
        <is>
          <t>TOTAL (14 days)</t>
        </is>
      </c>
      <c r="B5" s="7">
        <f>SUMIF('Daily Log'!C:C,"Week 1",'Daily Log'!G:G)+SUMIF('Daily Log'!C:C,"Week 2",'Daily Log'!G:G)</f>
        <v/>
      </c>
      <c r="C5" s="7">
        <f>SUMIF('Daily Log'!C:C,"Week 1",'Daily Log'!H:H)+SUMIF('Daily Log'!C:C,"Week 2",'Daily Log'!H:H)</f>
        <v/>
      </c>
      <c r="D5" s="7">
        <f>SUMIF('Daily Log'!C:C,"Week 1",'Daily Log'!I:I)+SUMIF('Daily Log'!C:C,"Week 2",'Daily Log'!I:I)</f>
        <v/>
      </c>
      <c r="E5" s="7">
        <f>SUMIF('Daily Log'!C:C,"Week 1",'Daily Log'!J:J)+SUMIF('Daily Log'!C:C,"Week 2",'Daily Log'!J:J)</f>
        <v/>
      </c>
      <c r="F5" s="7">
        <f>IFERROR(B5/D5,0)</f>
        <v/>
      </c>
      <c r="G5" s="7">
        <f>IFERROR(B5/E5,0)</f>
        <v/>
      </c>
      <c r="H5" s="7" t="inlineStr">
        <is>
          <t>(manual entry from GA4: city=Philadelphia, exclude founder)</t>
        </is>
      </c>
    </row>
    <row r="7">
      <c r="A7" s="5" t="inlineStr">
        <is>
          <t>CHANNEL BREAKDOWN (full sprint)</t>
        </is>
      </c>
    </row>
    <row r="8">
      <c r="A8" s="1" t="inlineStr">
        <is>
          <t>Channel</t>
        </is>
      </c>
      <c r="B8" s="1" t="inlineStr">
        <is>
          <t>Spend $</t>
        </is>
      </c>
      <c r="C8" s="1" t="inlineStr">
        <is>
          <t>Clicks</t>
        </is>
      </c>
      <c r="D8" s="1" t="inlineStr">
        <is>
          <t>Signups</t>
        </is>
      </c>
      <c r="E8" s="1" t="inlineStr">
        <is>
          <t>CPI</t>
        </is>
      </c>
      <c r="F8" s="1" t="inlineStr">
        <is>
          <t>% of total spend</t>
        </is>
      </c>
    </row>
    <row r="9">
      <c r="A9" s="3" t="inlineStr">
        <is>
          <t>IG paid (Reels/Stories)</t>
        </is>
      </c>
      <c r="B9" s="7">
        <f>SUMIF('Daily Log'!D:D,"IG paid (Reels/Stories)",'Daily Log'!G:G)</f>
        <v/>
      </c>
      <c r="C9" s="7">
        <f>SUMIF('Daily Log'!D:D,"IG paid (Reels/Stories)",'Daily Log'!I:I)</f>
        <v/>
      </c>
      <c r="D9" s="7">
        <f>SUMIF('Daily Log'!D:D,"IG paid (Reels/Stories)",'Daily Log'!J:J)</f>
        <v/>
      </c>
      <c r="E9" s="7">
        <f>IFERROR(B9/D9,0)</f>
        <v/>
      </c>
      <c r="F9" s="7">
        <f>IFERROR(B9/$B$5,0)</f>
        <v/>
      </c>
    </row>
    <row r="10">
      <c r="A10" s="3" t="inlineStr">
        <is>
          <t>IG boost (organic Reel)</t>
        </is>
      </c>
      <c r="B10" s="7">
        <f>SUMIF('Daily Log'!D:D,"IG boost (organic Reel)",'Daily Log'!G:G)</f>
        <v/>
      </c>
      <c r="C10" s="7">
        <f>SUMIF('Daily Log'!D:D,"IG boost (organic Reel)",'Daily Log'!I:I)</f>
        <v/>
      </c>
      <c r="D10" s="7">
        <f>SUMIF('Daily Log'!D:D,"IG boost (organic Reel)",'Daily Log'!J:J)</f>
        <v/>
      </c>
      <c r="E10" s="7">
        <f>IFERROR(B10/D10,0)</f>
        <v/>
      </c>
      <c r="F10" s="7">
        <f>IFERROR(B10/$B$5,0)</f>
        <v/>
      </c>
    </row>
    <row r="11">
      <c r="A11" s="3" t="inlineStr">
        <is>
          <t>Google Search Ads</t>
        </is>
      </c>
      <c r="B11" s="7">
        <f>SUMIF('Daily Log'!D:D,"Google Search Ads",'Daily Log'!G:G)</f>
        <v/>
      </c>
      <c r="C11" s="7">
        <f>SUMIF('Daily Log'!D:D,"Google Search Ads",'Daily Log'!I:I)</f>
        <v/>
      </c>
      <c r="D11" s="7">
        <f>SUMIF('Daily Log'!D:D,"Google Search Ads",'Daily Log'!J:J)</f>
        <v/>
      </c>
      <c r="E11" s="7">
        <f>IFERROR(B11/D11,0)</f>
        <v/>
      </c>
      <c r="F11" s="7">
        <f>IFERROR(B11/$B$5,0)</f>
        <v/>
      </c>
    </row>
    <row r="12">
      <c r="A12" s="3" t="inlineStr">
        <is>
          <t>Reddit Promoted</t>
        </is>
      </c>
      <c r="B12" s="7">
        <f>SUMIF('Daily Log'!D:D,"Reddit Promoted",'Daily Log'!G:G)</f>
        <v/>
      </c>
      <c r="C12" s="7">
        <f>SUMIF('Daily Log'!D:D,"Reddit Promoted",'Daily Log'!I:I)</f>
        <v/>
      </c>
      <c r="D12" s="7">
        <f>SUMIF('Daily Log'!D:D,"Reddit Promoted",'Daily Log'!J:J)</f>
        <v/>
      </c>
      <c r="E12" s="7">
        <f>IFERROR(B12/D12,0)</f>
        <v/>
      </c>
      <c r="F12" s="7">
        <f>IFERROR(B12/$B$5,0)</f>
        <v/>
      </c>
    </row>
    <row r="13">
      <c r="A13" s="3" t="inlineStr">
        <is>
          <t>Reddit organic</t>
        </is>
      </c>
      <c r="B13" s="7">
        <f>SUMIF('Daily Log'!D:D,"Reddit organic",'Daily Log'!G:G)</f>
        <v/>
      </c>
      <c r="C13" s="7">
        <f>SUMIF('Daily Log'!D:D,"Reddit organic",'Daily Log'!I:I)</f>
        <v/>
      </c>
      <c r="D13" s="7">
        <f>SUMIF('Daily Log'!D:D,"Reddit organic",'Daily Log'!J:J)</f>
        <v/>
      </c>
      <c r="E13" s="7">
        <f>IFERROR(B13/D13,0)</f>
        <v/>
      </c>
      <c r="F13" s="7">
        <f>IFERROR(B13/$B$5,0)</f>
        <v/>
      </c>
    </row>
    <row r="14">
      <c r="A14" s="3" t="inlineStr">
        <is>
          <t>DMs</t>
        </is>
      </c>
      <c r="B14" s="7">
        <f>SUMIF('Daily Log'!D:D,"DMs",'Daily Log'!G:G)</f>
        <v/>
      </c>
      <c r="C14" s="7">
        <f>SUMIF('Daily Log'!D:D,"DMs",'Daily Log'!I:I)</f>
        <v/>
      </c>
      <c r="D14" s="7">
        <f>SUMIF('Daily Log'!D:D,"DMs",'Daily Log'!J:J)</f>
        <v/>
      </c>
      <c r="E14" s="7">
        <f>IFERROR(B14/D14,0)</f>
        <v/>
      </c>
      <c r="F14" s="7">
        <f>IFERROR(B14/$B$5,0)</f>
        <v/>
      </c>
    </row>
    <row r="15">
      <c r="A15" s="3" t="inlineStr">
        <is>
          <t>Directory submissions</t>
        </is>
      </c>
      <c r="B15" s="7">
        <f>SUMIF('Daily Log'!D:D,"Directory submissions",'Daily Log'!G:G)</f>
        <v/>
      </c>
      <c r="C15" s="7">
        <f>SUMIF('Daily Log'!D:D,"Directory submissions",'Daily Log'!I:I)</f>
        <v/>
      </c>
      <c r="D15" s="7">
        <f>SUMIF('Daily Log'!D:D,"Directory submissions",'Daily Log'!J:J)</f>
        <v/>
      </c>
      <c r="E15" s="7">
        <f>IFERROR(B15/D15,0)</f>
        <v/>
      </c>
      <c r="F15" s="7">
        <f>IFERROR(B15/$B$5,0)</f>
        <v/>
      </c>
    </row>
    <row r="16">
      <c r="A16" s="3" t="inlineStr">
        <is>
          <t>Indie Hackers / blog posts</t>
        </is>
      </c>
      <c r="B16" s="7">
        <f>SUMIF('Daily Log'!D:D,"Indie Hackers / blog posts",'Daily Log'!G:G)</f>
        <v/>
      </c>
      <c r="C16" s="7">
        <f>SUMIF('Daily Log'!D:D,"Indie Hackers / blog posts",'Daily Log'!I:I)</f>
        <v/>
      </c>
      <c r="D16" s="7">
        <f>SUMIF('Daily Log'!D:D,"Indie Hackers / blog posts",'Daily Log'!J:J)</f>
        <v/>
      </c>
      <c r="E16" s="7">
        <f>IFERROR(B16/D16,0)</f>
        <v/>
      </c>
      <c r="F16" s="7">
        <f>IFERROR(B16/$B$5,0)</f>
        <v/>
      </c>
    </row>
    <row r="17">
      <c r="A17" s="3" t="inlineStr">
        <is>
          <t>B2B owner outreach</t>
        </is>
      </c>
      <c r="B17" s="7">
        <f>SUMIF('Daily Log'!D:D,"B2B owner outreach",'Daily Log'!G:G)</f>
        <v/>
      </c>
      <c r="C17" s="7">
        <f>SUMIF('Daily Log'!D:D,"B2B owner outreach",'Daily Log'!I:I)</f>
        <v/>
      </c>
      <c r="D17" s="7">
        <f>SUMIF('Daily Log'!D:D,"B2B owner outreach",'Daily Log'!J:J)</f>
        <v/>
      </c>
      <c r="E17" s="7">
        <f>IFERROR(B17/D17,0)</f>
        <v/>
      </c>
      <c r="F17" s="7">
        <f>IFERROR(B17/$B$5,0)</f>
        <v/>
      </c>
    </row>
    <row r="18">
      <c r="A18" s="3" t="inlineStr">
        <is>
          <t>Podcast outreach</t>
        </is>
      </c>
      <c r="B18" s="7">
        <f>SUMIF('Daily Log'!D:D,"Podcast outreach",'Daily Log'!G:G)</f>
        <v/>
      </c>
      <c r="C18" s="7">
        <f>SUMIF('Daily Log'!D:D,"Podcast outreach",'Daily Log'!I:I)</f>
        <v/>
      </c>
      <c r="D18" s="7">
        <f>SUMIF('Daily Log'!D:D,"Podcast outreach",'Daily Log'!J:J)</f>
        <v/>
      </c>
      <c r="E18" s="7">
        <f>IFERROR(B18/D18,0)</f>
        <v/>
      </c>
      <c r="F18" s="7">
        <f>IFERROR(B18/$B$5,0)</f>
        <v/>
      </c>
    </row>
    <row r="21">
      <c r="A21" s="5" t="inlineStr">
        <is>
          <t>DECISION LOG</t>
        </is>
      </c>
    </row>
    <row r="22">
      <c r="A22" s="1" t="inlineStr">
        <is>
          <t>Date</t>
        </is>
      </c>
      <c r="B22" s="1" t="inlineStr">
        <is>
          <t>Day #</t>
        </is>
      </c>
      <c r="C22" s="1" t="inlineStr">
        <is>
          <t>Decision</t>
        </is>
      </c>
      <c r="D22" s="1" t="inlineStr">
        <is>
          <t>Reason / data behind it</t>
        </is>
      </c>
      <c r="E22" s="1" t="inlineStr">
        <is>
          <t>Impact</t>
        </is>
      </c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22" customWidth="1" min="4" max="4"/>
    <col width="11" customWidth="1" min="5" max="5"/>
    <col width="10" customWidth="1" min="6" max="6"/>
    <col width="32" customWidth="1" min="7" max="7"/>
    <col width="10" customWidth="1" min="8" max="8"/>
    <col width="11" customWidth="1" min="9" max="9"/>
    <col width="30" customWidth="1" min="10" max="10"/>
    <col width="11" customWidth="1" min="11" max="11"/>
    <col width="11" customWidth="1" min="12" max="12"/>
    <col width="15" customWidth="1" min="13" max="13"/>
    <col width="16" customWidth="1" min="14" max="14"/>
    <col width="30" customWidth="1" min="15" max="15"/>
  </cols>
  <sheetData>
    <row r="1">
      <c r="A1" s="1" t="inlineStr">
        <is>
          <t>Row #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Handle</t>
        </is>
      </c>
      <c r="E1" s="1" t="inlineStr">
        <is>
          <t>Followers</t>
        </is>
      </c>
      <c r="F1" s="1" t="inlineStr">
        <is>
          <t>% Philly</t>
        </is>
      </c>
      <c r="G1" s="1" t="inlineStr">
        <is>
          <t>Email</t>
        </is>
      </c>
      <c r="H1" s="1" t="inlineStr">
        <is>
          <t>Channel</t>
        </is>
      </c>
      <c r="I1" s="1" t="inlineStr">
        <is>
          <t>Date sent</t>
        </is>
      </c>
      <c r="J1" s="1" t="inlineStr">
        <is>
          <t>Restaurant referenced</t>
        </is>
      </c>
      <c r="K1" s="1" t="inlineStr">
        <is>
          <t>Response Y/N</t>
        </is>
      </c>
      <c r="L1" s="1" t="inlineStr">
        <is>
          <t>Response date</t>
        </is>
      </c>
      <c r="M1" s="1" t="inlineStr">
        <is>
          <t>TestFlight install Y/N</t>
        </is>
      </c>
      <c r="N1" s="1" t="inlineStr">
        <is>
          <t>Posted about us Y/N</t>
        </is>
      </c>
      <c r="O1" s="1" t="inlineStr">
        <is>
          <t>Notes</t>
        </is>
      </c>
    </row>
    <row r="2">
      <c r="A2" s="2" t="n">
        <v>1</v>
      </c>
      <c r="B2" s="2" t="inlineStr">
        <is>
          <t>Tier A</t>
        </is>
      </c>
      <c r="C2" s="2" t="inlineStr">
        <is>
          <t>Kass</t>
        </is>
      </c>
      <c r="D2" s="2" t="inlineStr">
        <is>
          <t>@phillyfoodgirl</t>
        </is>
      </c>
      <c r="E2" s="2" t="n">
        <v>61600</v>
      </c>
      <c r="F2" s="2" t="n">
        <v>35</v>
      </c>
      <c r="G2" s="2" t="inlineStr">
        <is>
          <t>kass@phillyfoodgirl.com</t>
        </is>
      </c>
      <c r="H2" s="2" t="inlineStr">
        <is>
          <t>Email</t>
        </is>
      </c>
      <c r="I2" s="2" t="n"/>
      <c r="J2" s="2" t="n"/>
      <c r="K2" s="2" t="n"/>
      <c r="L2" s="2" t="n"/>
      <c r="M2" s="2" t="n"/>
      <c r="N2" s="2" t="n"/>
      <c r="O2" s="2" t="n"/>
    </row>
    <row r="3">
      <c r="A3" s="3" t="n">
        <v>2</v>
      </c>
      <c r="B3" s="3" t="inlineStr">
        <is>
          <t>Tier A</t>
        </is>
      </c>
      <c r="C3" s="3" t="inlineStr">
        <is>
          <t>Josh Moore</t>
        </is>
      </c>
      <c r="D3" s="3" t="inlineStr">
        <is>
          <t>@josheatsphilly</t>
        </is>
      </c>
      <c r="E3" s="3" t="inlineStr"/>
      <c r="F3" s="3" t="inlineStr"/>
      <c r="G3" s="3" t="inlineStr">
        <is>
          <t>josheatsphilly@gmail.com</t>
        </is>
      </c>
      <c r="H3" s="3" t="inlineStr">
        <is>
          <t>Email</t>
        </is>
      </c>
      <c r="I3" s="3" t="n"/>
      <c r="J3" s="3" t="n"/>
      <c r="K3" s="3" t="n"/>
      <c r="L3" s="3" t="n"/>
      <c r="M3" s="3" t="n"/>
      <c r="N3" s="3" t="n"/>
      <c r="O3" s="3" t="n"/>
    </row>
    <row r="4">
      <c r="A4" s="2" t="n">
        <v>3</v>
      </c>
      <c r="B4" s="2" t="inlineStr">
        <is>
          <t>Tier A</t>
        </is>
      </c>
      <c r="C4" s="2" t="inlineStr">
        <is>
          <t>Emily</t>
        </is>
      </c>
      <c r="D4" s="2" t="inlineStr">
        <is>
          <t>@dietstartstomorrow.phl</t>
        </is>
      </c>
      <c r="E4" s="2" t="n">
        <v>19900</v>
      </c>
      <c r="F4" s="2" t="n">
        <v>30</v>
      </c>
      <c r="G4" s="2" t="inlineStr">
        <is>
          <t>dietstartstomorrowphl@gmail.com</t>
        </is>
      </c>
      <c r="H4" s="2" t="inlineStr">
        <is>
          <t>Email</t>
        </is>
      </c>
      <c r="I4" s="2" t="n"/>
      <c r="J4" s="2" t="n"/>
      <c r="K4" s="2" t="n"/>
      <c r="L4" s="2" t="n"/>
      <c r="M4" s="2" t="n"/>
      <c r="N4" s="2" t="n"/>
      <c r="O4" s="2" t="n"/>
    </row>
    <row r="5">
      <c r="A5" s="3" t="n">
        <v>4</v>
      </c>
      <c r="B5" s="3" t="inlineStr">
        <is>
          <t>Tier A</t>
        </is>
      </c>
      <c r="C5" s="3" t="inlineStr">
        <is>
          <t>Katie</t>
        </is>
      </c>
      <c r="D5" s="3" t="inlineStr">
        <is>
          <t>@katieeatsphilly</t>
        </is>
      </c>
      <c r="E5" s="3" t="n">
        <v>15100</v>
      </c>
      <c r="F5" s="3" t="n">
        <v>16</v>
      </c>
      <c r="G5" s="3" t="inlineStr">
        <is>
          <t>katieeatsphilly@gmail.com</t>
        </is>
      </c>
      <c r="H5" s="3" t="inlineStr">
        <is>
          <t>Email</t>
        </is>
      </c>
      <c r="I5" s="3" t="n"/>
      <c r="J5" s="3" t="n"/>
      <c r="K5" s="3" t="n"/>
      <c r="L5" s="3" t="n"/>
      <c r="M5" s="3" t="n"/>
      <c r="N5" s="3" t="n"/>
      <c r="O5" s="3" t="n"/>
    </row>
    <row r="6">
      <c r="A6" s="2" t="n">
        <v>5</v>
      </c>
      <c r="B6" s="2" t="inlineStr">
        <is>
          <t>Tier A</t>
        </is>
      </c>
      <c r="C6" s="2" t="inlineStr">
        <is>
          <t>Fiona Golden</t>
        </is>
      </c>
      <c r="D6" s="2" t="inlineStr">
        <is>
          <t>@figi.rated</t>
        </is>
      </c>
      <c r="E6" s="2" t="n">
        <v>15000</v>
      </c>
      <c r="F6" s="2" t="n">
        <v>40</v>
      </c>
      <c r="G6" s="2" t="inlineStr"/>
      <c r="H6" s="2" t="inlineStr">
        <is>
          <t>IG DM</t>
        </is>
      </c>
      <c r="I6" s="2" t="n"/>
      <c r="J6" s="2" t="n"/>
      <c r="K6" s="2" t="n"/>
      <c r="L6" s="2" t="n"/>
      <c r="M6" s="2" t="n"/>
      <c r="N6" s="2" t="n"/>
      <c r="O6" s="2" t="n"/>
    </row>
    <row r="7">
      <c r="A7" s="3" t="n">
        <v>6</v>
      </c>
      <c r="B7" s="3" t="inlineStr">
        <is>
          <t>Tier A</t>
        </is>
      </c>
      <c r="C7" s="3" t="inlineStr">
        <is>
          <t>(unknown)</t>
        </is>
      </c>
      <c r="D7" s="3" t="inlineStr">
        <is>
          <t>@phillyfooddude</t>
        </is>
      </c>
      <c r="E7" s="3" t="n">
        <v>11700</v>
      </c>
      <c r="F7" s="3" t="n">
        <v>42</v>
      </c>
      <c r="G7" s="3" t="inlineStr"/>
      <c r="H7" s="3" t="inlineStr">
        <is>
          <t>IG DM</t>
        </is>
      </c>
      <c r="I7" s="3" t="n"/>
      <c r="J7" s="3" t="n"/>
      <c r="K7" s="3" t="n"/>
      <c r="L7" s="3" t="n"/>
      <c r="M7" s="3" t="n"/>
      <c r="N7" s="3" t="n"/>
      <c r="O7" s="3" t="n"/>
    </row>
    <row r="8">
      <c r="A8" s="2" t="n">
        <v>7</v>
      </c>
      <c r="B8" s="2" t="inlineStr">
        <is>
          <t>Tier A</t>
        </is>
      </c>
      <c r="C8" s="2" t="inlineStr">
        <is>
          <t>Jenica</t>
        </is>
      </c>
      <c r="D8" s="2" t="inlineStr">
        <is>
          <t>@jenicainphilly</t>
        </is>
      </c>
      <c r="E8" s="2" t="n">
        <v>9100</v>
      </c>
      <c r="F8" s="2" t="n">
        <v>12</v>
      </c>
      <c r="G8" s="2" t="inlineStr"/>
      <c r="H8" s="2" t="inlineStr">
        <is>
          <t>IG DM</t>
        </is>
      </c>
      <c r="I8" s="2" t="n"/>
      <c r="J8" s="2" t="n"/>
      <c r="K8" s="2" t="n"/>
      <c r="L8" s="2" t="n"/>
      <c r="M8" s="2" t="n"/>
      <c r="N8" s="2" t="n"/>
      <c r="O8" s="2" t="n"/>
    </row>
    <row r="9">
      <c r="A9" s="3" t="n">
        <v>8</v>
      </c>
      <c r="B9" s="3" t="inlineStr">
        <is>
          <t>Tier A</t>
        </is>
      </c>
      <c r="C9" s="3" t="inlineStr">
        <is>
          <t>Tara Fowler</t>
        </is>
      </c>
      <c r="D9" s="3" t="inlineStr">
        <is>
          <t>@thephillyfoodblog</t>
        </is>
      </c>
      <c r="E9" s="3" t="n">
        <v>7900</v>
      </c>
      <c r="F9" s="3" t="n">
        <v>20</v>
      </c>
      <c r="G9" s="3" t="inlineStr"/>
      <c r="H9" s="3" t="inlineStr">
        <is>
          <t>IG DM</t>
        </is>
      </c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9</v>
      </c>
      <c r="B10" s="2" t="inlineStr">
        <is>
          <t>Tier A</t>
        </is>
      </c>
      <c r="C10" s="2" t="inlineStr">
        <is>
          <t>Laura + Maura</t>
        </is>
      </c>
      <c r="D10" s="2" t="inlineStr">
        <is>
          <t>@loveatourfirstbite</t>
        </is>
      </c>
      <c r="E10" s="2" t="n">
        <v>6900</v>
      </c>
      <c r="F10" s="2" t="n">
        <v>15</v>
      </c>
      <c r="G10" s="2" t="inlineStr">
        <is>
          <t>the3philareviewers@gmail.com</t>
        </is>
      </c>
      <c r="H10" s="2" t="inlineStr">
        <is>
          <t>Email</t>
        </is>
      </c>
      <c r="I10" s="2" t="n"/>
      <c r="J10" s="2" t="n"/>
      <c r="K10" s="2" t="n"/>
      <c r="L10" s="2" t="n"/>
      <c r="M10" s="2" t="n"/>
      <c r="N10" s="2" t="n"/>
      <c r="O10" s="2" t="n"/>
    </row>
    <row r="11">
      <c r="A11" s="3" t="n">
        <v>10</v>
      </c>
      <c r="B11" s="3" t="inlineStr">
        <is>
          <t>Tier A</t>
        </is>
      </c>
      <c r="C11" s="3" t="inlineStr">
        <is>
          <t>Deezy</t>
        </is>
      </c>
      <c r="D11" s="3" t="inlineStr">
        <is>
          <t>@eats_with_deezy</t>
        </is>
      </c>
      <c r="E11" s="3" t="inlineStr"/>
      <c r="F11" s="3" t="inlineStr"/>
      <c r="G11" s="3" t="inlineStr">
        <is>
          <t>eats.with.deezy@gmail.com</t>
        </is>
      </c>
      <c r="H11" s="3" t="inlineStr">
        <is>
          <t>Email</t>
        </is>
      </c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11</v>
      </c>
      <c r="B12" s="2" t="inlineStr">
        <is>
          <t>Tier A</t>
        </is>
      </c>
      <c r="C12" s="2" t="inlineStr">
        <is>
          <t>(unknown)</t>
        </is>
      </c>
      <c r="D12" s="2" t="inlineStr">
        <is>
          <t>@feedingtime</t>
        </is>
      </c>
      <c r="E12" s="2" t="inlineStr"/>
      <c r="F12" s="2" t="inlineStr"/>
      <c r="G12" s="2" t="inlineStr"/>
      <c r="H12" s="2" t="inlineStr">
        <is>
          <t>IG DM</t>
        </is>
      </c>
      <c r="I12" s="2" t="n"/>
      <c r="J12" s="2" t="n"/>
      <c r="K12" s="2" t="n"/>
      <c r="L12" s="2" t="n"/>
      <c r="M12" s="2" t="n"/>
      <c r="N12" s="2" t="n"/>
      <c r="O12" s="2" t="n"/>
    </row>
    <row r="13">
      <c r="A13" s="3" t="n">
        <v>12</v>
      </c>
      <c r="B13" s="3" t="inlineStr">
        <is>
          <t>Tier A</t>
        </is>
      </c>
      <c r="C13" s="3" t="inlineStr">
        <is>
          <t>Mollie Dronson</t>
        </is>
      </c>
      <c r="D13" s="3" t="inlineStr">
        <is>
          <t>@phillyfoodies</t>
        </is>
      </c>
      <c r="E13" s="3" t="n">
        <v>87000</v>
      </c>
      <c r="F13" s="3" t="inlineStr"/>
      <c r="G13" s="3" t="inlineStr">
        <is>
          <t>phlfoodies@gmail.com</t>
        </is>
      </c>
      <c r="H13" s="3" t="inlineStr">
        <is>
          <t>Email</t>
        </is>
      </c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13</v>
      </c>
      <c r="B14" s="2" t="inlineStr">
        <is>
          <t>Tier A</t>
        </is>
      </c>
      <c r="C14" s="2" t="inlineStr">
        <is>
          <t>Lauren &amp; Aaron</t>
        </is>
      </c>
      <c r="D14" s="2" t="inlineStr">
        <is>
          <t>@wanderingpassports_</t>
        </is>
      </c>
      <c r="E14" s="2" t="n">
        <v>40200</v>
      </c>
      <c r="F14" s="2" t="inlineStr"/>
      <c r="G14" s="2" t="inlineStr">
        <is>
          <t>passports.wandering@gmail.com</t>
        </is>
      </c>
      <c r="H14" s="2" t="inlineStr">
        <is>
          <t>Email</t>
        </is>
      </c>
      <c r="I14" s="2" t="n"/>
      <c r="J14" s="2" t="n"/>
      <c r="K14" s="2" t="n"/>
      <c r="L14" s="2" t="n"/>
      <c r="M14" s="2" t="n"/>
      <c r="N14" s="2" t="n"/>
      <c r="O14" s="2" t="n"/>
    </row>
    <row r="15">
      <c r="A15" s="3" t="n">
        <v>14</v>
      </c>
      <c r="B15" s="3" t="inlineStr">
        <is>
          <t>Tier A</t>
        </is>
      </c>
      <c r="C15" s="3" t="inlineStr">
        <is>
          <t>Tyshaniek</t>
        </is>
      </c>
      <c r="D15" s="3" t="inlineStr">
        <is>
          <t>@styledtoatea</t>
        </is>
      </c>
      <c r="E15" s="3" t="n">
        <v>13100</v>
      </c>
      <c r="F15" s="3" t="n">
        <v>24</v>
      </c>
      <c r="G15" s="3" t="inlineStr">
        <is>
          <t>hello@styledtoatea.com</t>
        </is>
      </c>
      <c r="H15" s="3" t="inlineStr">
        <is>
          <t>Email</t>
        </is>
      </c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15</v>
      </c>
      <c r="B16" s="2" t="inlineStr">
        <is>
          <t>Tier A</t>
        </is>
      </c>
      <c r="C16" s="2" t="inlineStr">
        <is>
          <t>Ashley Baldwin</t>
        </is>
      </c>
      <c r="D16" s="2" t="inlineStr">
        <is>
          <t>@exact_ley</t>
        </is>
      </c>
      <c r="E16" s="2" t="n">
        <v>216000</v>
      </c>
      <c r="F16" s="2" t="n">
        <v>44</v>
      </c>
      <c r="G16" s="2" t="inlineStr"/>
      <c r="H16" s="2" t="inlineStr">
        <is>
          <t>IG DM</t>
        </is>
      </c>
      <c r="I16" s="2" t="n"/>
      <c r="J16" s="2" t="n"/>
      <c r="K16" s="2" t="n"/>
      <c r="L16" s="2" t="n"/>
      <c r="M16" s="2" t="n"/>
      <c r="N16" s="2" t="n"/>
      <c r="O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2026-05-14T00:12:15Z</dcterms:created>
  <dcterms:modified xmlns:dcterms="http://purl.org/dc/terms/" xmlns:xsi="http://www.w3.org/2001/XMLSchema-instance" xsi:type="dcterms:W3CDTF">2026-05-14T00:12:15Z</dcterms:modified>
</cp:coreProperties>
</file>